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ntry Sheet" sheetId="1" r:id="rId5"/>
    <sheet state="visible" name="Form Responses" sheetId="2" r:id="rId6"/>
    <sheet state="visible" name="Constants" sheetId="3" r:id="rId7"/>
  </sheets>
  <definedNames>
    <definedName hidden="1" localSheetId="0" name="_xlnm._FilterDatabase">'Data Entry Sheet'!$A$1:$M$12</definedName>
  </definedNames>
  <calcPr/>
</workbook>
</file>

<file path=xl/sharedStrings.xml><?xml version="1.0" encoding="utf-8"?>
<sst xmlns="http://schemas.openxmlformats.org/spreadsheetml/2006/main" count="246" uniqueCount="71">
  <si>
    <t>CDCR Facility</t>
  </si>
  <si>
    <t>Yard</t>
  </si>
  <si>
    <t>Organization Name</t>
  </si>
  <si>
    <t>Program Name</t>
  </si>
  <si>
    <t>Schedule Status (Planned, In Progress, Completed)</t>
  </si>
  <si>
    <t>Start Date</t>
  </si>
  <si>
    <t>End Date</t>
  </si>
  <si>
    <t>Total Programming hours</t>
  </si>
  <si>
    <t>Number of Participants</t>
  </si>
  <si>
    <t>Number of Participants Completed</t>
  </si>
  <si>
    <t>CALC: Total Participant Programming hours (Participants Completed * Total Programming Hours</t>
  </si>
  <si>
    <t>CALC: Program Year (Year of Program Start Date)</t>
  </si>
  <si>
    <t>Notes</t>
  </si>
  <si>
    <t>San Quentin Rehabilitation Center (SQ)</t>
  </si>
  <si>
    <t>Enneagram Prison Project</t>
  </si>
  <si>
    <t>Standard Course</t>
  </si>
  <si>
    <t>Completed</t>
  </si>
  <si>
    <t>SAMPLE DATA</t>
  </si>
  <si>
    <t>Correctional Training Facility (CTF)</t>
  </si>
  <si>
    <t>North</t>
  </si>
  <si>
    <t>GRIP Training Institute</t>
  </si>
  <si>
    <t>Guiding Rage Into Power</t>
  </si>
  <si>
    <t>Kern Valley State Prison (KVSP)</t>
  </si>
  <si>
    <t>A Yard</t>
  </si>
  <si>
    <t>Defy Ventures</t>
  </si>
  <si>
    <t>CEO of Your New Life</t>
  </si>
  <si>
    <t>C Yard</t>
  </si>
  <si>
    <t>California Correctional Institution (CCI)</t>
  </si>
  <si>
    <t>B Yard</t>
  </si>
  <si>
    <t>California State Prison, Los Angeles County (LAC)</t>
  </si>
  <si>
    <t>Richard J. Donovan Correctional Facility (RJD)</t>
  </si>
  <si>
    <t>E Yard</t>
  </si>
  <si>
    <t>California Institution for Women (CIW)</t>
  </si>
  <si>
    <t>Salinas Valley State Prison (SVSP)</t>
  </si>
  <si>
    <t>TBD</t>
  </si>
  <si>
    <t>Valley State Prison (VSP)</t>
  </si>
  <si>
    <t>Avenal State Prison (ASP)</t>
  </si>
  <si>
    <t>In Progress</t>
  </si>
  <si>
    <t>Mule Creek State Prison (MCSP)</t>
  </si>
  <si>
    <t>D</t>
  </si>
  <si>
    <t>E</t>
  </si>
  <si>
    <t>B</t>
  </si>
  <si>
    <t>F</t>
  </si>
  <si>
    <t>California Medical Facility (CMF)</t>
  </si>
  <si>
    <t>Central California Women’s Facility (CCWF)</t>
  </si>
  <si>
    <t>Substance Abuse Treatment Facility and State Prison, Corcoran (SATF-CSP, Corcoran)</t>
  </si>
  <si>
    <t>A Breath of Freedom</t>
  </si>
  <si>
    <t>Timestamp</t>
  </si>
  <si>
    <t>CDCR Facilities</t>
  </si>
  <si>
    <t>Course Hours (per Participant)</t>
  </si>
  <si>
    <t>Test</t>
  </si>
  <si>
    <t>test</t>
  </si>
  <si>
    <t>Schedule Status</t>
  </si>
  <si>
    <t>Planned</t>
  </si>
  <si>
    <t>California Health Care Facility (CHCF), Stockton</t>
  </si>
  <si>
    <t>California Institution for Men (CIM)</t>
  </si>
  <si>
    <t>California Men’s Colony (CMC)</t>
  </si>
  <si>
    <t>California Rehabilitation Center (CRC)</t>
  </si>
  <si>
    <t>California State Prison, Corcoran (COR)</t>
  </si>
  <si>
    <t>California State Prison, Sacramento (SAC)</t>
  </si>
  <si>
    <t>California State Prison, Solano (SOL)</t>
  </si>
  <si>
    <t>Calipatria State Prison (CAL)</t>
  </si>
  <si>
    <t>California State Prison, Centinela (CEN)</t>
  </si>
  <si>
    <t>Folsom State Prison (FSP)</t>
  </si>
  <si>
    <t>High Desert State Prison (HDSP)</t>
  </si>
  <si>
    <t>Ironwood State Prison (ISP)</t>
  </si>
  <si>
    <t>North Kern State Prison (NKSP)</t>
  </si>
  <si>
    <t>Pelican Bay State Prison (PBSP)</t>
  </si>
  <si>
    <t>Pleasant Valley State Prison (PVSP)</t>
  </si>
  <si>
    <t>Sierra Conservation Center (SCC)</t>
  </si>
  <si>
    <t>Wasco State Prison (WSP)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</si>
</sst>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1C1C1C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04913"/>
      </left>
      <right style="thin">
        <color rgb="FF104913"/>
      </right>
      <top style="thin">
        <color rgb="FF104913"/>
      </top>
      <bottom style="thin">
        <color rgb="FF104913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1" numFmtId="164" xfId="0" applyAlignment="1" applyBorder="1" applyFont="1" applyNumberFormat="1">
      <alignment horizontal="center" readingOrder="0" shrinkToFit="0" wrapText="1"/>
    </xf>
    <xf borderId="1" fillId="0" fontId="1" numFmtId="165" xfId="0" applyAlignment="1" applyBorder="1" applyFont="1" applyNumberForma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1" fillId="2" fontId="1" numFmtId="0" xfId="0" applyAlignment="1" applyBorder="1" applyFill="1" applyFont="1">
      <alignment readingOrder="0"/>
    </xf>
    <xf borderId="2" fillId="4" fontId="3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2" fillId="5" fontId="3" numFmtId="0" xfId="0" applyAlignment="1" applyBorder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" displayName="Form_Responses" name="Form_Responses" id="1">
  <tableColumns count="11">
    <tableColumn name="Timestamp" id="1"/>
    <tableColumn name="CDCR Facilities" id="2"/>
    <tableColumn name="Yard" id="3"/>
    <tableColumn name="Organization Name" id="4"/>
    <tableColumn name="Program Name" id="5"/>
    <tableColumn name="Schedule Status (Planned, In Progress, Completed)" id="6"/>
    <tableColumn name="Start Date" id="7"/>
    <tableColumn name="End Date" id="8"/>
    <tableColumn name="Course Hours (per Participant)" id="9"/>
    <tableColumn name="Number of Participants" id="10"/>
    <tableColumn name="Number of Participants Completed" id="11"/>
  </tableColumns>
  <tableStyleInfo name="Form 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38"/>
    <col customWidth="1" min="2" max="2" width="7.13"/>
    <col customWidth="1" min="3" max="3" width="20.5"/>
    <col customWidth="1" min="4" max="4" width="19.63"/>
    <col customWidth="1" min="5" max="5" width="21.13"/>
    <col customWidth="1" min="6" max="6" width="11.38"/>
    <col customWidth="1" min="7" max="7" width="10.75"/>
    <col customWidth="1" min="8" max="8" width="14.38"/>
    <col customWidth="1" min="9" max="10" width="13.0"/>
    <col customWidth="1" min="11" max="11" width="18.63"/>
    <col customWidth="1" min="12" max="12" width="12.25"/>
    <col customWidth="1" min="13" max="13" width="22.75"/>
    <col customWidth="1" min="14" max="31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4" t="s">
        <v>13</v>
      </c>
      <c r="B2" s="5"/>
      <c r="C2" s="4" t="s">
        <v>14</v>
      </c>
      <c r="D2" s="4" t="s">
        <v>15</v>
      </c>
      <c r="E2" s="4" t="s">
        <v>16</v>
      </c>
      <c r="F2" s="6">
        <v>45686.0</v>
      </c>
      <c r="G2" s="7">
        <v>45770.0</v>
      </c>
      <c r="H2" s="8">
        <v>39.0</v>
      </c>
      <c r="I2" s="8">
        <v>28.0</v>
      </c>
      <c r="J2" s="8">
        <v>25.0</v>
      </c>
      <c r="K2" s="8">
        <f t="shared" ref="K2:K104" si="1">H2*J2</f>
        <v>975</v>
      </c>
      <c r="L2" s="8">
        <f t="shared" ref="L2:L104" si="2">IF(ISBLANK(F2), "", YEAR(F2))</f>
        <v>2025</v>
      </c>
      <c r="M2" s="4" t="s">
        <v>17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4" t="s">
        <v>18</v>
      </c>
      <c r="B3" s="5" t="s">
        <v>19</v>
      </c>
      <c r="C3" s="4" t="s">
        <v>20</v>
      </c>
      <c r="D3" s="4" t="s">
        <v>21</v>
      </c>
      <c r="E3" s="4" t="s">
        <v>16</v>
      </c>
      <c r="F3" s="6">
        <v>45597.0</v>
      </c>
      <c r="G3" s="7">
        <v>46107.0</v>
      </c>
      <c r="H3" s="8">
        <v>104.0</v>
      </c>
      <c r="I3" s="8">
        <v>37.0</v>
      </c>
      <c r="J3" s="8">
        <v>28.0</v>
      </c>
      <c r="K3" s="8">
        <f t="shared" si="1"/>
        <v>2912</v>
      </c>
      <c r="L3" s="8">
        <f t="shared" si="2"/>
        <v>2024</v>
      </c>
      <c r="M3" s="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4" t="s">
        <v>22</v>
      </c>
      <c r="B4" s="5" t="s">
        <v>23</v>
      </c>
      <c r="C4" s="4" t="s">
        <v>24</v>
      </c>
      <c r="D4" s="4" t="s">
        <v>25</v>
      </c>
      <c r="E4" s="4" t="s">
        <v>16</v>
      </c>
      <c r="F4" s="6">
        <v>45292.0</v>
      </c>
      <c r="G4" s="7">
        <v>45553.0</v>
      </c>
      <c r="H4" s="8">
        <v>176.0</v>
      </c>
      <c r="I4" s="8">
        <v>45.0</v>
      </c>
      <c r="J4" s="8">
        <v>18.0</v>
      </c>
      <c r="K4" s="8">
        <f t="shared" si="1"/>
        <v>3168</v>
      </c>
      <c r="L4" s="8">
        <f t="shared" si="2"/>
        <v>2024</v>
      </c>
      <c r="M4" s="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4" t="s">
        <v>18</v>
      </c>
      <c r="B5" s="5" t="s">
        <v>26</v>
      </c>
      <c r="C5" s="4" t="s">
        <v>24</v>
      </c>
      <c r="D5" s="4" t="s">
        <v>25</v>
      </c>
      <c r="E5" s="4" t="s">
        <v>16</v>
      </c>
      <c r="F5" s="6">
        <v>45444.0</v>
      </c>
      <c r="G5" s="7">
        <v>45700.0</v>
      </c>
      <c r="H5" s="8">
        <v>176.0</v>
      </c>
      <c r="I5" s="8">
        <v>45.0</v>
      </c>
      <c r="J5" s="8">
        <v>35.0</v>
      </c>
      <c r="K5" s="8">
        <f t="shared" si="1"/>
        <v>6160</v>
      </c>
      <c r="L5" s="8">
        <f t="shared" si="2"/>
        <v>2024</v>
      </c>
      <c r="M5" s="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4" t="s">
        <v>27</v>
      </c>
      <c r="B6" s="5" t="s">
        <v>28</v>
      </c>
      <c r="C6" s="4" t="s">
        <v>24</v>
      </c>
      <c r="D6" s="4" t="s">
        <v>25</v>
      </c>
      <c r="E6" s="4" t="s">
        <v>16</v>
      </c>
      <c r="F6" s="6">
        <v>45447.0</v>
      </c>
      <c r="G6" s="7">
        <v>45700.0</v>
      </c>
      <c r="H6" s="8">
        <v>176.0</v>
      </c>
      <c r="I6" s="8">
        <v>45.0</v>
      </c>
      <c r="J6" s="8">
        <v>18.0</v>
      </c>
      <c r="K6" s="8">
        <f t="shared" si="1"/>
        <v>3168</v>
      </c>
      <c r="L6" s="8">
        <f t="shared" si="2"/>
        <v>2024</v>
      </c>
      <c r="M6" s="5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4" t="s">
        <v>29</v>
      </c>
      <c r="B7" s="5" t="s">
        <v>23</v>
      </c>
      <c r="C7" s="4" t="s">
        <v>24</v>
      </c>
      <c r="D7" s="4" t="s">
        <v>25</v>
      </c>
      <c r="E7" s="4" t="s">
        <v>16</v>
      </c>
      <c r="F7" s="6">
        <v>45565.0</v>
      </c>
      <c r="G7" s="7">
        <v>45798.0</v>
      </c>
      <c r="H7" s="8">
        <v>176.0</v>
      </c>
      <c r="I7" s="8">
        <v>45.0</v>
      </c>
      <c r="J7" s="8">
        <v>17.0</v>
      </c>
      <c r="K7" s="8">
        <f t="shared" si="1"/>
        <v>2992</v>
      </c>
      <c r="L7" s="8">
        <f t="shared" si="2"/>
        <v>2024</v>
      </c>
      <c r="M7" s="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4" t="s">
        <v>29</v>
      </c>
      <c r="B8" s="5" t="s">
        <v>28</v>
      </c>
      <c r="C8" s="4" t="s">
        <v>24</v>
      </c>
      <c r="D8" s="4" t="s">
        <v>25</v>
      </c>
      <c r="E8" s="4" t="s">
        <v>16</v>
      </c>
      <c r="F8" s="6">
        <v>45586.0</v>
      </c>
      <c r="G8" s="7">
        <v>45888.0</v>
      </c>
      <c r="H8" s="8">
        <v>176.0</v>
      </c>
      <c r="I8" s="8">
        <v>45.0</v>
      </c>
      <c r="J8" s="8">
        <v>22.0</v>
      </c>
      <c r="K8" s="8">
        <f t="shared" si="1"/>
        <v>3872</v>
      </c>
      <c r="L8" s="8">
        <f t="shared" si="2"/>
        <v>2024</v>
      </c>
      <c r="M8" s="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4" t="s">
        <v>30</v>
      </c>
      <c r="B9" s="5" t="s">
        <v>31</v>
      </c>
      <c r="C9" s="4" t="s">
        <v>24</v>
      </c>
      <c r="D9" s="4" t="s">
        <v>25</v>
      </c>
      <c r="E9" s="4" t="s">
        <v>16</v>
      </c>
      <c r="F9" s="6">
        <v>45582.0</v>
      </c>
      <c r="G9" s="7">
        <v>45784.0</v>
      </c>
      <c r="H9" s="8">
        <v>176.0</v>
      </c>
      <c r="I9" s="8">
        <v>45.0</v>
      </c>
      <c r="J9" s="8">
        <v>36.0</v>
      </c>
      <c r="K9" s="8">
        <f t="shared" si="1"/>
        <v>6336</v>
      </c>
      <c r="L9" s="8">
        <f t="shared" si="2"/>
        <v>2024</v>
      </c>
      <c r="M9" s="5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4" t="s">
        <v>27</v>
      </c>
      <c r="B10" s="5" t="s">
        <v>26</v>
      </c>
      <c r="C10" s="4" t="s">
        <v>24</v>
      </c>
      <c r="D10" s="4" t="s">
        <v>25</v>
      </c>
      <c r="E10" s="4" t="s">
        <v>16</v>
      </c>
      <c r="F10" s="6">
        <v>45629.0</v>
      </c>
      <c r="G10" s="7">
        <v>45833.0</v>
      </c>
      <c r="H10" s="8">
        <v>176.0</v>
      </c>
      <c r="I10" s="8">
        <v>45.0</v>
      </c>
      <c r="J10" s="8">
        <v>17.0</v>
      </c>
      <c r="K10" s="8">
        <f t="shared" si="1"/>
        <v>2992</v>
      </c>
      <c r="L10" s="8">
        <f t="shared" si="2"/>
        <v>2024</v>
      </c>
      <c r="M10" s="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4" t="s">
        <v>32</v>
      </c>
      <c r="B11" s="5"/>
      <c r="C11" s="4" t="s">
        <v>24</v>
      </c>
      <c r="D11" s="4" t="s">
        <v>25</v>
      </c>
      <c r="E11" s="4" t="s">
        <v>16</v>
      </c>
      <c r="F11" s="6">
        <v>45672.0</v>
      </c>
      <c r="G11" s="7">
        <v>45882.0</v>
      </c>
      <c r="H11" s="8">
        <v>176.0</v>
      </c>
      <c r="I11" s="8">
        <v>45.0</v>
      </c>
      <c r="J11" s="8">
        <v>28.0</v>
      </c>
      <c r="K11" s="8">
        <f t="shared" si="1"/>
        <v>4928</v>
      </c>
      <c r="L11" s="8">
        <f t="shared" si="2"/>
        <v>2025</v>
      </c>
      <c r="M11" s="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4" t="s">
        <v>22</v>
      </c>
      <c r="B12" s="5" t="s">
        <v>23</v>
      </c>
      <c r="C12" s="4" t="s">
        <v>24</v>
      </c>
      <c r="D12" s="4" t="s">
        <v>25</v>
      </c>
      <c r="E12" s="4" t="s">
        <v>16</v>
      </c>
      <c r="F12" s="6">
        <v>45666.0</v>
      </c>
      <c r="G12" s="7">
        <v>45952.0</v>
      </c>
      <c r="H12" s="8">
        <v>176.0</v>
      </c>
      <c r="I12" s="8">
        <v>45.0</v>
      </c>
      <c r="J12" s="8">
        <v>30.0</v>
      </c>
      <c r="K12" s="8">
        <f t="shared" si="1"/>
        <v>5280</v>
      </c>
      <c r="L12" s="8">
        <f t="shared" si="2"/>
        <v>2025</v>
      </c>
      <c r="M12" s="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4" t="s">
        <v>33</v>
      </c>
      <c r="B13" s="5"/>
      <c r="C13" s="4" t="s">
        <v>24</v>
      </c>
      <c r="D13" s="4" t="s">
        <v>25</v>
      </c>
      <c r="E13" s="4" t="s">
        <v>16</v>
      </c>
      <c r="F13" s="6">
        <v>45597.0</v>
      </c>
      <c r="G13" s="7">
        <v>45917.0</v>
      </c>
      <c r="H13" s="8">
        <v>176.0</v>
      </c>
      <c r="I13" s="8">
        <v>45.0</v>
      </c>
      <c r="J13" s="8" t="s">
        <v>34</v>
      </c>
      <c r="K13" s="8" t="str">
        <f t="shared" si="1"/>
        <v>#VALUE!</v>
      </c>
      <c r="L13" s="8">
        <f t="shared" si="2"/>
        <v>2024</v>
      </c>
      <c r="M13" s="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4" t="s">
        <v>35</v>
      </c>
      <c r="B14" s="5"/>
      <c r="C14" s="4" t="s">
        <v>24</v>
      </c>
      <c r="D14" s="4" t="s">
        <v>25</v>
      </c>
      <c r="E14" s="4" t="s">
        <v>16</v>
      </c>
      <c r="F14" s="6">
        <v>45748.0</v>
      </c>
      <c r="G14" s="7">
        <v>45959.0</v>
      </c>
      <c r="H14" s="8">
        <v>176.0</v>
      </c>
      <c r="I14" s="8">
        <v>45.0</v>
      </c>
      <c r="J14" s="8">
        <v>22.0</v>
      </c>
      <c r="K14" s="8">
        <f t="shared" si="1"/>
        <v>3872</v>
      </c>
      <c r="L14" s="8">
        <f t="shared" si="2"/>
        <v>2025</v>
      </c>
      <c r="M14" s="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4" t="s">
        <v>22</v>
      </c>
      <c r="B15" s="5" t="s">
        <v>23</v>
      </c>
      <c r="C15" s="4" t="s">
        <v>24</v>
      </c>
      <c r="D15" s="4" t="s">
        <v>25</v>
      </c>
      <c r="E15" s="4" t="s">
        <v>16</v>
      </c>
      <c r="F15" s="6">
        <v>45868.0</v>
      </c>
      <c r="G15" s="7">
        <v>46184.0</v>
      </c>
      <c r="H15" s="8">
        <v>176.0</v>
      </c>
      <c r="I15" s="8">
        <v>45.0</v>
      </c>
      <c r="J15" s="8">
        <v>20.0</v>
      </c>
      <c r="K15" s="8">
        <f t="shared" si="1"/>
        <v>3520</v>
      </c>
      <c r="L15" s="8">
        <f t="shared" si="2"/>
        <v>2025</v>
      </c>
      <c r="M15" s="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4" t="s">
        <v>27</v>
      </c>
      <c r="B16" s="5" t="s">
        <v>23</v>
      </c>
      <c r="C16" s="4" t="s">
        <v>24</v>
      </c>
      <c r="D16" s="4" t="s">
        <v>25</v>
      </c>
      <c r="E16" s="4" t="s">
        <v>16</v>
      </c>
      <c r="F16" s="6">
        <v>45881.0</v>
      </c>
      <c r="G16" s="7">
        <v>46085.0</v>
      </c>
      <c r="H16" s="8">
        <v>176.0</v>
      </c>
      <c r="I16" s="8">
        <v>45.0</v>
      </c>
      <c r="J16" s="8">
        <v>29.0</v>
      </c>
      <c r="K16" s="8">
        <f t="shared" si="1"/>
        <v>5104</v>
      </c>
      <c r="L16" s="8">
        <f t="shared" si="2"/>
        <v>2025</v>
      </c>
      <c r="M16" s="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4" t="s">
        <v>36</v>
      </c>
      <c r="B17" s="5"/>
      <c r="C17" s="4" t="s">
        <v>24</v>
      </c>
      <c r="D17" s="4" t="s">
        <v>25</v>
      </c>
      <c r="E17" s="4" t="s">
        <v>37</v>
      </c>
      <c r="F17" s="6">
        <v>45901.0</v>
      </c>
      <c r="G17" s="7" t="s">
        <v>34</v>
      </c>
      <c r="H17" s="8" t="s">
        <v>34</v>
      </c>
      <c r="I17" s="8">
        <v>45.0</v>
      </c>
      <c r="J17" s="8" t="s">
        <v>34</v>
      </c>
      <c r="K17" s="8" t="str">
        <f t="shared" si="1"/>
        <v>#VALUE!</v>
      </c>
      <c r="L17" s="8">
        <f t="shared" si="2"/>
        <v>2025</v>
      </c>
      <c r="M17" s="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4" t="s">
        <v>32</v>
      </c>
      <c r="B18" s="5"/>
      <c r="C18" s="4" t="s">
        <v>24</v>
      </c>
      <c r="D18" s="4" t="s">
        <v>25</v>
      </c>
      <c r="E18" s="4" t="s">
        <v>16</v>
      </c>
      <c r="F18" s="6">
        <v>45966.0</v>
      </c>
      <c r="G18" s="7">
        <v>46198.0</v>
      </c>
      <c r="H18" s="8">
        <v>176.0</v>
      </c>
      <c r="I18" s="8">
        <v>45.0</v>
      </c>
      <c r="J18" s="8">
        <v>13.0</v>
      </c>
      <c r="K18" s="8">
        <f t="shared" si="1"/>
        <v>2288</v>
      </c>
      <c r="L18" s="8">
        <f t="shared" si="2"/>
        <v>2025</v>
      </c>
      <c r="M18" s="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4" t="s">
        <v>27</v>
      </c>
      <c r="B19" s="5" t="s">
        <v>26</v>
      </c>
      <c r="C19" s="4" t="s">
        <v>24</v>
      </c>
      <c r="D19" s="4" t="s">
        <v>25</v>
      </c>
      <c r="E19" s="4" t="s">
        <v>16</v>
      </c>
      <c r="F19" s="6">
        <v>45979.0</v>
      </c>
      <c r="G19" s="7">
        <v>46177.0</v>
      </c>
      <c r="H19" s="8">
        <v>176.0</v>
      </c>
      <c r="I19" s="8">
        <v>45.0</v>
      </c>
      <c r="J19" s="8">
        <v>33.0</v>
      </c>
      <c r="K19" s="8">
        <f t="shared" si="1"/>
        <v>5808</v>
      </c>
      <c r="L19" s="8">
        <f t="shared" si="2"/>
        <v>2025</v>
      </c>
      <c r="M19" s="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4" t="s">
        <v>18</v>
      </c>
      <c r="B20" s="5" t="s">
        <v>26</v>
      </c>
      <c r="C20" s="4" t="s">
        <v>24</v>
      </c>
      <c r="D20" s="4" t="s">
        <v>25</v>
      </c>
      <c r="E20" s="4" t="s">
        <v>37</v>
      </c>
      <c r="F20" s="6">
        <v>45748.0</v>
      </c>
      <c r="G20" s="7" t="s">
        <v>34</v>
      </c>
      <c r="H20" s="8" t="s">
        <v>34</v>
      </c>
      <c r="I20" s="8">
        <v>45.0</v>
      </c>
      <c r="J20" s="8" t="s">
        <v>34</v>
      </c>
      <c r="K20" s="8" t="str">
        <f t="shared" si="1"/>
        <v>#VALUE!</v>
      </c>
      <c r="L20" s="8">
        <f t="shared" si="2"/>
        <v>2025</v>
      </c>
      <c r="M20" s="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4" t="s">
        <v>29</v>
      </c>
      <c r="B21" s="5" t="s">
        <v>26</v>
      </c>
      <c r="C21" s="4" t="s">
        <v>24</v>
      </c>
      <c r="D21" s="4" t="s">
        <v>25</v>
      </c>
      <c r="E21" s="4" t="s">
        <v>37</v>
      </c>
      <c r="F21" s="6">
        <v>46048.0</v>
      </c>
      <c r="G21" s="7" t="s">
        <v>34</v>
      </c>
      <c r="H21" s="8" t="s">
        <v>34</v>
      </c>
      <c r="I21" s="8">
        <v>45.0</v>
      </c>
      <c r="J21" s="8" t="s">
        <v>34</v>
      </c>
      <c r="K21" s="8" t="str">
        <f t="shared" si="1"/>
        <v>#VALUE!</v>
      </c>
      <c r="L21" s="8">
        <f t="shared" si="2"/>
        <v>2026</v>
      </c>
      <c r="M21" s="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4" t="s">
        <v>33</v>
      </c>
      <c r="B22" s="5"/>
      <c r="C22" s="4" t="s">
        <v>24</v>
      </c>
      <c r="D22" s="4" t="s">
        <v>25</v>
      </c>
      <c r="E22" s="4" t="s">
        <v>16</v>
      </c>
      <c r="F22" s="6">
        <v>45778.0</v>
      </c>
      <c r="G22" s="7">
        <v>46099.0</v>
      </c>
      <c r="H22" s="8">
        <v>176.0</v>
      </c>
      <c r="I22" s="8">
        <v>45.0</v>
      </c>
      <c r="J22" s="8">
        <v>19.0</v>
      </c>
      <c r="K22" s="8">
        <f t="shared" si="1"/>
        <v>3344</v>
      </c>
      <c r="L22" s="8">
        <f t="shared" si="2"/>
        <v>2025</v>
      </c>
      <c r="M22" s="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4" t="s">
        <v>35</v>
      </c>
      <c r="B23" s="5"/>
      <c r="C23" s="4" t="s">
        <v>24</v>
      </c>
      <c r="D23" s="4" t="s">
        <v>25</v>
      </c>
      <c r="E23" s="4" t="s">
        <v>16</v>
      </c>
      <c r="F23" s="6">
        <v>45962.0</v>
      </c>
      <c r="G23" s="7">
        <v>46113.0</v>
      </c>
      <c r="H23" s="8">
        <v>176.0</v>
      </c>
      <c r="I23" s="8">
        <v>45.0</v>
      </c>
      <c r="J23" s="8">
        <v>7.0</v>
      </c>
      <c r="K23" s="8">
        <f t="shared" si="1"/>
        <v>1232</v>
      </c>
      <c r="L23" s="8">
        <f t="shared" si="2"/>
        <v>2025</v>
      </c>
      <c r="M23" s="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4" t="s">
        <v>18</v>
      </c>
      <c r="B24" s="5" t="s">
        <v>19</v>
      </c>
      <c r="C24" s="4" t="s">
        <v>20</v>
      </c>
      <c r="D24" s="4" t="s">
        <v>21</v>
      </c>
      <c r="E24" s="4" t="s">
        <v>16</v>
      </c>
      <c r="F24" s="6">
        <v>45748.0</v>
      </c>
      <c r="G24" s="7">
        <v>46170.0</v>
      </c>
      <c r="H24" s="8">
        <v>104.0</v>
      </c>
      <c r="I24" s="8">
        <v>35.0</v>
      </c>
      <c r="J24" s="8">
        <v>33.0</v>
      </c>
      <c r="K24" s="8">
        <f t="shared" si="1"/>
        <v>3432</v>
      </c>
      <c r="L24" s="8">
        <f t="shared" si="2"/>
        <v>2025</v>
      </c>
      <c r="M24" s="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4" t="s">
        <v>13</v>
      </c>
      <c r="B25" s="5"/>
      <c r="C25" s="4" t="s">
        <v>20</v>
      </c>
      <c r="D25" s="4" t="s">
        <v>21</v>
      </c>
      <c r="E25" s="4" t="s">
        <v>16</v>
      </c>
      <c r="F25" s="6">
        <v>45627.0</v>
      </c>
      <c r="G25" s="7">
        <v>46178.0</v>
      </c>
      <c r="H25" s="8">
        <v>104.0</v>
      </c>
      <c r="I25" s="8">
        <v>33.0</v>
      </c>
      <c r="J25" s="8">
        <v>21.0</v>
      </c>
      <c r="K25" s="8">
        <f t="shared" si="1"/>
        <v>2184</v>
      </c>
      <c r="L25" s="8">
        <f t="shared" si="2"/>
        <v>2024</v>
      </c>
      <c r="M25" s="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4" t="s">
        <v>13</v>
      </c>
      <c r="B26" s="5"/>
      <c r="C26" s="4" t="s">
        <v>20</v>
      </c>
      <c r="D26" s="4" t="s">
        <v>21</v>
      </c>
      <c r="E26" s="4" t="s">
        <v>16</v>
      </c>
      <c r="F26" s="6">
        <v>45627.0</v>
      </c>
      <c r="G26" s="7">
        <v>46178.0</v>
      </c>
      <c r="H26" s="8">
        <v>104.0</v>
      </c>
      <c r="I26" s="8">
        <v>41.0</v>
      </c>
      <c r="J26" s="8">
        <v>30.0</v>
      </c>
      <c r="K26" s="8">
        <f t="shared" si="1"/>
        <v>3120</v>
      </c>
      <c r="L26" s="8">
        <f t="shared" si="2"/>
        <v>2024</v>
      </c>
      <c r="M26" s="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4" t="s">
        <v>13</v>
      </c>
      <c r="B27" s="5"/>
      <c r="C27" s="4" t="s">
        <v>20</v>
      </c>
      <c r="D27" s="4" t="s">
        <v>21</v>
      </c>
      <c r="E27" s="4" t="s">
        <v>16</v>
      </c>
      <c r="F27" s="6">
        <v>45627.0</v>
      </c>
      <c r="G27" s="7">
        <v>46178.0</v>
      </c>
      <c r="H27" s="8">
        <v>104.0</v>
      </c>
      <c r="I27" s="8">
        <v>30.0</v>
      </c>
      <c r="J27" s="8">
        <v>20.0</v>
      </c>
      <c r="K27" s="8">
        <f t="shared" si="1"/>
        <v>2080</v>
      </c>
      <c r="L27" s="8">
        <f t="shared" si="2"/>
        <v>2024</v>
      </c>
      <c r="M27" s="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4" t="s">
        <v>38</v>
      </c>
      <c r="B28" s="5" t="s">
        <v>39</v>
      </c>
      <c r="C28" s="4" t="s">
        <v>20</v>
      </c>
      <c r="D28" s="4" t="s">
        <v>21</v>
      </c>
      <c r="E28" s="4" t="s">
        <v>16</v>
      </c>
      <c r="F28" s="6">
        <v>45689.0</v>
      </c>
      <c r="G28" s="7">
        <v>46121.0</v>
      </c>
      <c r="H28" s="8">
        <v>104.0</v>
      </c>
      <c r="I28" s="8">
        <v>41.0</v>
      </c>
      <c r="J28" s="8">
        <v>31.0</v>
      </c>
      <c r="K28" s="8">
        <f t="shared" si="1"/>
        <v>3224</v>
      </c>
      <c r="L28" s="8">
        <f t="shared" si="2"/>
        <v>2025</v>
      </c>
      <c r="M28" s="5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4" t="s">
        <v>38</v>
      </c>
      <c r="B29" s="5" t="s">
        <v>40</v>
      </c>
      <c r="C29" s="4" t="s">
        <v>20</v>
      </c>
      <c r="D29" s="4" t="s">
        <v>21</v>
      </c>
      <c r="E29" s="4" t="s">
        <v>16</v>
      </c>
      <c r="F29" s="6">
        <v>45689.0</v>
      </c>
      <c r="G29" s="7">
        <v>46121.0</v>
      </c>
      <c r="H29" s="8">
        <v>104.0</v>
      </c>
      <c r="I29" s="8">
        <v>39.0</v>
      </c>
      <c r="J29" s="8">
        <v>31.0</v>
      </c>
      <c r="K29" s="8">
        <f t="shared" si="1"/>
        <v>3224</v>
      </c>
      <c r="L29" s="8">
        <f t="shared" si="2"/>
        <v>2025</v>
      </c>
      <c r="M29" s="5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4" t="s">
        <v>36</v>
      </c>
      <c r="B30" s="5" t="s">
        <v>41</v>
      </c>
      <c r="C30" s="4" t="s">
        <v>20</v>
      </c>
      <c r="D30" s="4" t="s">
        <v>21</v>
      </c>
      <c r="E30" s="4" t="s">
        <v>16</v>
      </c>
      <c r="F30" s="6">
        <v>45536.0</v>
      </c>
      <c r="G30" s="7">
        <v>46044.0</v>
      </c>
      <c r="H30" s="8">
        <v>104.0</v>
      </c>
      <c r="I30" s="8">
        <v>33.0</v>
      </c>
      <c r="J30" s="8">
        <v>20.0</v>
      </c>
      <c r="K30" s="8">
        <f t="shared" si="1"/>
        <v>2080</v>
      </c>
      <c r="L30" s="8">
        <f t="shared" si="2"/>
        <v>2024</v>
      </c>
      <c r="M30" s="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4" t="s">
        <v>36</v>
      </c>
      <c r="B31" s="5" t="s">
        <v>41</v>
      </c>
      <c r="C31" s="4" t="s">
        <v>20</v>
      </c>
      <c r="D31" s="4" t="s">
        <v>21</v>
      </c>
      <c r="E31" s="4" t="s">
        <v>16</v>
      </c>
      <c r="F31" s="6">
        <v>45536.0</v>
      </c>
      <c r="G31" s="7">
        <v>46044.0</v>
      </c>
      <c r="H31" s="8">
        <v>104.0</v>
      </c>
      <c r="I31" s="8">
        <v>35.0</v>
      </c>
      <c r="J31" s="8">
        <v>20.0</v>
      </c>
      <c r="K31" s="8">
        <f t="shared" si="1"/>
        <v>2080</v>
      </c>
      <c r="L31" s="8">
        <f t="shared" si="2"/>
        <v>2024</v>
      </c>
      <c r="M31" s="5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4" t="s">
        <v>36</v>
      </c>
      <c r="B32" s="5" t="s">
        <v>39</v>
      </c>
      <c r="C32" s="4" t="s">
        <v>20</v>
      </c>
      <c r="D32" s="4" t="s">
        <v>21</v>
      </c>
      <c r="E32" s="4" t="s">
        <v>16</v>
      </c>
      <c r="F32" s="6">
        <v>45536.0</v>
      </c>
      <c r="G32" s="7">
        <v>46043.0</v>
      </c>
      <c r="H32" s="8">
        <v>104.0</v>
      </c>
      <c r="I32" s="8">
        <v>35.0</v>
      </c>
      <c r="J32" s="8">
        <v>16.0</v>
      </c>
      <c r="K32" s="8">
        <f t="shared" si="1"/>
        <v>1664</v>
      </c>
      <c r="L32" s="8">
        <f t="shared" si="2"/>
        <v>2024</v>
      </c>
      <c r="M32" s="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4" t="s">
        <v>36</v>
      </c>
      <c r="B33" s="5" t="s">
        <v>42</v>
      </c>
      <c r="C33" s="4" t="s">
        <v>20</v>
      </c>
      <c r="D33" s="4" t="s">
        <v>21</v>
      </c>
      <c r="E33" s="4" t="s">
        <v>16</v>
      </c>
      <c r="F33" s="6">
        <v>45536.0</v>
      </c>
      <c r="G33" s="7">
        <v>46043.0</v>
      </c>
      <c r="H33" s="8">
        <v>104.0</v>
      </c>
      <c r="I33" s="8">
        <v>30.0</v>
      </c>
      <c r="J33" s="8">
        <v>22.0</v>
      </c>
      <c r="K33" s="8">
        <f t="shared" si="1"/>
        <v>2288</v>
      </c>
      <c r="L33" s="8">
        <f t="shared" si="2"/>
        <v>2024</v>
      </c>
      <c r="M33" s="5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4" t="s">
        <v>43</v>
      </c>
      <c r="B34" s="5"/>
      <c r="C34" s="4" t="s">
        <v>20</v>
      </c>
      <c r="D34" s="4" t="s">
        <v>21</v>
      </c>
      <c r="E34" s="4" t="s">
        <v>16</v>
      </c>
      <c r="F34" s="6">
        <v>45566.0</v>
      </c>
      <c r="G34" s="7">
        <v>45981.0</v>
      </c>
      <c r="H34" s="8">
        <v>104.0</v>
      </c>
      <c r="I34" s="8">
        <v>41.0</v>
      </c>
      <c r="J34" s="8">
        <v>24.0</v>
      </c>
      <c r="K34" s="8">
        <f t="shared" si="1"/>
        <v>2496</v>
      </c>
      <c r="L34" s="8">
        <f t="shared" si="2"/>
        <v>2024</v>
      </c>
      <c r="M34" s="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4" t="s">
        <v>43</v>
      </c>
      <c r="B35" s="5"/>
      <c r="C35" s="4" t="s">
        <v>20</v>
      </c>
      <c r="D35" s="4" t="s">
        <v>21</v>
      </c>
      <c r="E35" s="4" t="s">
        <v>16</v>
      </c>
      <c r="F35" s="6">
        <v>45566.0</v>
      </c>
      <c r="G35" s="7">
        <v>45981.0</v>
      </c>
      <c r="H35" s="8">
        <v>104.0</v>
      </c>
      <c r="I35" s="8">
        <v>31.0</v>
      </c>
      <c r="J35" s="8">
        <v>22.0</v>
      </c>
      <c r="K35" s="8">
        <f t="shared" si="1"/>
        <v>2288</v>
      </c>
      <c r="L35" s="8">
        <f t="shared" si="2"/>
        <v>2024</v>
      </c>
      <c r="M35" s="5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4" t="s">
        <v>44</v>
      </c>
      <c r="B36" s="5"/>
      <c r="C36" s="4" t="s">
        <v>20</v>
      </c>
      <c r="D36" s="4" t="s">
        <v>21</v>
      </c>
      <c r="E36" s="4" t="s">
        <v>16</v>
      </c>
      <c r="F36" s="6">
        <v>45717.0</v>
      </c>
      <c r="G36" s="7">
        <v>46197.0</v>
      </c>
      <c r="H36" s="8">
        <v>104.0</v>
      </c>
      <c r="I36" s="8">
        <v>36.0</v>
      </c>
      <c r="J36" s="8">
        <v>22.0</v>
      </c>
      <c r="K36" s="8">
        <f t="shared" si="1"/>
        <v>2288</v>
      </c>
      <c r="L36" s="8">
        <f t="shared" si="2"/>
        <v>2025</v>
      </c>
      <c r="M36" s="5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4" t="s">
        <v>45</v>
      </c>
      <c r="B37" s="5" t="s">
        <v>41</v>
      </c>
      <c r="C37" s="4" t="s">
        <v>20</v>
      </c>
      <c r="D37" s="4" t="s">
        <v>21</v>
      </c>
      <c r="E37" s="4" t="s">
        <v>16</v>
      </c>
      <c r="F37" s="6">
        <v>45809.0</v>
      </c>
      <c r="G37" s="7">
        <v>46198.0</v>
      </c>
      <c r="H37" s="8">
        <v>104.0</v>
      </c>
      <c r="I37" s="8">
        <v>44.0</v>
      </c>
      <c r="J37" s="8">
        <v>35.0</v>
      </c>
      <c r="K37" s="8">
        <f t="shared" si="1"/>
        <v>3640</v>
      </c>
      <c r="L37" s="8">
        <f t="shared" si="2"/>
        <v>2025</v>
      </c>
      <c r="M37" s="5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4" t="s">
        <v>43</v>
      </c>
      <c r="B38" s="5"/>
      <c r="C38" s="4" t="s">
        <v>20</v>
      </c>
      <c r="D38" s="4" t="s">
        <v>46</v>
      </c>
      <c r="E38" s="4" t="s">
        <v>16</v>
      </c>
      <c r="F38" s="5"/>
      <c r="G38" s="5"/>
      <c r="H38" s="5"/>
      <c r="I38" s="5"/>
      <c r="J38" s="5"/>
      <c r="K38" s="5">
        <f t="shared" si="1"/>
        <v>0</v>
      </c>
      <c r="L38" s="4" t="str">
        <f t="shared" si="2"/>
        <v/>
      </c>
      <c r="M38" s="5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>
        <f t="shared" si="1"/>
        <v>0</v>
      </c>
      <c r="L39" s="4" t="str">
        <f t="shared" si="2"/>
        <v/>
      </c>
      <c r="M39" s="5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>
        <f t="shared" si="1"/>
        <v>0</v>
      </c>
      <c r="L40" s="4" t="str">
        <f t="shared" si="2"/>
        <v/>
      </c>
      <c r="M40" s="5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>
        <f t="shared" si="1"/>
        <v>0</v>
      </c>
      <c r="L41" s="4" t="str">
        <f t="shared" si="2"/>
        <v/>
      </c>
      <c r="M41" s="5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>
        <f t="shared" si="1"/>
        <v>0</v>
      </c>
      <c r="L42" s="4" t="str">
        <f t="shared" si="2"/>
        <v/>
      </c>
      <c r="M42" s="5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>
        <f t="shared" si="1"/>
        <v>0</v>
      </c>
      <c r="L43" s="4" t="str">
        <f t="shared" si="2"/>
        <v/>
      </c>
      <c r="M43" s="5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>
        <f t="shared" si="1"/>
        <v>0</v>
      </c>
      <c r="L44" s="4" t="str">
        <f t="shared" si="2"/>
        <v/>
      </c>
      <c r="M44" s="5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>
        <f t="shared" si="1"/>
        <v>0</v>
      </c>
      <c r="L45" s="4" t="str">
        <f t="shared" si="2"/>
        <v/>
      </c>
      <c r="M45" s="5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>
        <f t="shared" si="1"/>
        <v>0</v>
      </c>
      <c r="L46" s="4" t="str">
        <f t="shared" si="2"/>
        <v/>
      </c>
      <c r="M46" s="5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>
        <f t="shared" si="1"/>
        <v>0</v>
      </c>
      <c r="L47" s="4" t="str">
        <f t="shared" si="2"/>
        <v/>
      </c>
      <c r="M47" s="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>
        <f t="shared" si="1"/>
        <v>0</v>
      </c>
      <c r="L48" s="4" t="str">
        <f t="shared" si="2"/>
        <v/>
      </c>
      <c r="M48" s="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>
        <f t="shared" si="1"/>
        <v>0</v>
      </c>
      <c r="L49" s="4" t="str">
        <f t="shared" si="2"/>
        <v/>
      </c>
      <c r="M49" s="5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>
        <f t="shared" si="1"/>
        <v>0</v>
      </c>
      <c r="L50" s="4" t="str">
        <f t="shared" si="2"/>
        <v/>
      </c>
      <c r="M50" s="5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>
        <f t="shared" si="1"/>
        <v>0</v>
      </c>
      <c r="L51" s="4" t="str">
        <f t="shared" si="2"/>
        <v/>
      </c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>
        <f t="shared" si="1"/>
        <v>0</v>
      </c>
      <c r="L52" s="4" t="str">
        <f t="shared" si="2"/>
        <v/>
      </c>
      <c r="M52" s="5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>
        <f t="shared" si="1"/>
        <v>0</v>
      </c>
      <c r="L53" s="4" t="str">
        <f t="shared" si="2"/>
        <v/>
      </c>
      <c r="M53" s="5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>
        <f t="shared" si="1"/>
        <v>0</v>
      </c>
      <c r="L54" s="4" t="str">
        <f t="shared" si="2"/>
        <v/>
      </c>
      <c r="M54" s="5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>
        <f t="shared" si="1"/>
        <v>0</v>
      </c>
      <c r="L55" s="4" t="str">
        <f t="shared" si="2"/>
        <v/>
      </c>
      <c r="M55" s="5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>
        <f t="shared" si="1"/>
        <v>0</v>
      </c>
      <c r="L56" s="4" t="str">
        <f t="shared" si="2"/>
        <v/>
      </c>
      <c r="M56" s="5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>
        <f t="shared" si="1"/>
        <v>0</v>
      </c>
      <c r="L57" s="4" t="str">
        <f t="shared" si="2"/>
        <v/>
      </c>
      <c r="M57" s="5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>
        <f t="shared" si="1"/>
        <v>0</v>
      </c>
      <c r="L58" s="4" t="str">
        <f t="shared" si="2"/>
        <v/>
      </c>
      <c r="M58" s="5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>
        <f t="shared" si="1"/>
        <v>0</v>
      </c>
      <c r="L59" s="4" t="str">
        <f t="shared" si="2"/>
        <v/>
      </c>
      <c r="M59" s="5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>
        <f t="shared" si="1"/>
        <v>0</v>
      </c>
      <c r="L60" s="4" t="str">
        <f t="shared" si="2"/>
        <v/>
      </c>
      <c r="M60" s="5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>
        <f t="shared" si="1"/>
        <v>0</v>
      </c>
      <c r="L61" s="4" t="str">
        <f t="shared" si="2"/>
        <v/>
      </c>
      <c r="M61" s="5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>
        <f t="shared" si="1"/>
        <v>0</v>
      </c>
      <c r="L62" s="4" t="str">
        <f t="shared" si="2"/>
        <v/>
      </c>
      <c r="M62" s="5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>
        <f t="shared" si="1"/>
        <v>0</v>
      </c>
      <c r="L63" s="4" t="str">
        <f t="shared" si="2"/>
        <v/>
      </c>
      <c r="M63" s="5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>
        <f t="shared" si="1"/>
        <v>0</v>
      </c>
      <c r="L64" s="4" t="str">
        <f t="shared" si="2"/>
        <v/>
      </c>
      <c r="M64" s="5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>
        <f t="shared" si="1"/>
        <v>0</v>
      </c>
      <c r="L65" s="4" t="str">
        <f t="shared" si="2"/>
        <v/>
      </c>
      <c r="M65" s="5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>
        <f t="shared" si="1"/>
        <v>0</v>
      </c>
      <c r="L66" s="4" t="str">
        <f t="shared" si="2"/>
        <v/>
      </c>
      <c r="M66" s="5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>
        <f t="shared" si="1"/>
        <v>0</v>
      </c>
      <c r="L67" s="4" t="str">
        <f t="shared" si="2"/>
        <v/>
      </c>
      <c r="M67" s="5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>
        <f t="shared" si="1"/>
        <v>0</v>
      </c>
      <c r="L68" s="4" t="str">
        <f t="shared" si="2"/>
        <v/>
      </c>
      <c r="M68" s="5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>
        <f t="shared" si="1"/>
        <v>0</v>
      </c>
      <c r="L69" s="4" t="str">
        <f t="shared" si="2"/>
        <v/>
      </c>
      <c r="M69" s="5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>
        <f t="shared" si="1"/>
        <v>0</v>
      </c>
      <c r="L70" s="4" t="str">
        <f t="shared" si="2"/>
        <v/>
      </c>
      <c r="M70" s="5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>
        <f t="shared" si="1"/>
        <v>0</v>
      </c>
      <c r="L71" s="4" t="str">
        <f t="shared" si="2"/>
        <v/>
      </c>
      <c r="M71" s="5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>
        <f t="shared" si="1"/>
        <v>0</v>
      </c>
      <c r="L72" s="4" t="str">
        <f t="shared" si="2"/>
        <v/>
      </c>
      <c r="M72" s="5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>
        <f t="shared" si="1"/>
        <v>0</v>
      </c>
      <c r="L73" s="4" t="str">
        <f t="shared" si="2"/>
        <v/>
      </c>
      <c r="M73" s="5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>
        <f t="shared" si="1"/>
        <v>0</v>
      </c>
      <c r="L74" s="4" t="str">
        <f t="shared" si="2"/>
        <v/>
      </c>
      <c r="M74" s="5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>
        <f t="shared" si="1"/>
        <v>0</v>
      </c>
      <c r="L75" s="4" t="str">
        <f t="shared" si="2"/>
        <v/>
      </c>
      <c r="M75" s="5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>
        <f t="shared" si="1"/>
        <v>0</v>
      </c>
      <c r="L76" s="4" t="str">
        <f t="shared" si="2"/>
        <v/>
      </c>
      <c r="M76" s="5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>
        <f t="shared" si="1"/>
        <v>0</v>
      </c>
      <c r="L77" s="4" t="str">
        <f t="shared" si="2"/>
        <v/>
      </c>
      <c r="M77" s="5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>
        <f t="shared" si="1"/>
        <v>0</v>
      </c>
      <c r="L78" s="4" t="str">
        <f t="shared" si="2"/>
        <v/>
      </c>
      <c r="M78" s="5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>
        <f t="shared" si="1"/>
        <v>0</v>
      </c>
      <c r="L79" s="4" t="str">
        <f t="shared" si="2"/>
        <v/>
      </c>
      <c r="M79" s="5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>
        <f t="shared" si="1"/>
        <v>0</v>
      </c>
      <c r="L80" s="4" t="str">
        <f t="shared" si="2"/>
        <v/>
      </c>
      <c r="M80" s="5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>
        <f t="shared" si="1"/>
        <v>0</v>
      </c>
      <c r="L81" s="4" t="str">
        <f t="shared" si="2"/>
        <v/>
      </c>
      <c r="M81" s="5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>
        <f t="shared" si="1"/>
        <v>0</v>
      </c>
      <c r="L82" s="4" t="str">
        <f t="shared" si="2"/>
        <v/>
      </c>
      <c r="M82" s="5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>
        <f t="shared" si="1"/>
        <v>0</v>
      </c>
      <c r="L83" s="4" t="str">
        <f t="shared" si="2"/>
        <v/>
      </c>
      <c r="M83" s="5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>
        <f t="shared" si="1"/>
        <v>0</v>
      </c>
      <c r="L84" s="4" t="str">
        <f t="shared" si="2"/>
        <v/>
      </c>
      <c r="M84" s="5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>
        <f t="shared" si="1"/>
        <v>0</v>
      </c>
      <c r="L85" s="4" t="str">
        <f t="shared" si="2"/>
        <v/>
      </c>
      <c r="M85" s="5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>
        <f t="shared" si="1"/>
        <v>0</v>
      </c>
      <c r="L86" s="4" t="str">
        <f t="shared" si="2"/>
        <v/>
      </c>
      <c r="M86" s="5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>
        <f t="shared" si="1"/>
        <v>0</v>
      </c>
      <c r="L87" s="4" t="str">
        <f t="shared" si="2"/>
        <v/>
      </c>
      <c r="M87" s="5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>
        <f t="shared" si="1"/>
        <v>0</v>
      </c>
      <c r="L88" s="4" t="str">
        <f t="shared" si="2"/>
        <v/>
      </c>
      <c r="M88" s="5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>
        <f t="shared" si="1"/>
        <v>0</v>
      </c>
      <c r="L89" s="4" t="str">
        <f t="shared" si="2"/>
        <v/>
      </c>
      <c r="M89" s="5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>
        <f t="shared" si="1"/>
        <v>0</v>
      </c>
      <c r="L90" s="4" t="str">
        <f t="shared" si="2"/>
        <v/>
      </c>
      <c r="M90" s="5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>
        <f t="shared" si="1"/>
        <v>0</v>
      </c>
      <c r="L91" s="4" t="str">
        <f t="shared" si="2"/>
        <v/>
      </c>
      <c r="M91" s="5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>
        <f t="shared" si="1"/>
        <v>0</v>
      </c>
      <c r="L92" s="4" t="str">
        <f t="shared" si="2"/>
        <v/>
      </c>
      <c r="M92" s="5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>
        <f t="shared" si="1"/>
        <v>0</v>
      </c>
      <c r="L93" s="4" t="str">
        <f t="shared" si="2"/>
        <v/>
      </c>
      <c r="M93" s="5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>
        <f t="shared" si="1"/>
        <v>0</v>
      </c>
      <c r="L94" s="4" t="str">
        <f t="shared" si="2"/>
        <v/>
      </c>
      <c r="M94" s="5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>
        <f t="shared" si="1"/>
        <v>0</v>
      </c>
      <c r="L95" s="4" t="str">
        <f t="shared" si="2"/>
        <v/>
      </c>
      <c r="M95" s="5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>
        <f t="shared" si="1"/>
        <v>0</v>
      </c>
      <c r="L96" s="4" t="str">
        <f t="shared" si="2"/>
        <v/>
      </c>
      <c r="M96" s="5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>
        <f t="shared" si="1"/>
        <v>0</v>
      </c>
      <c r="L97" s="4" t="str">
        <f t="shared" si="2"/>
        <v/>
      </c>
      <c r="M97" s="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>
        <f t="shared" si="1"/>
        <v>0</v>
      </c>
      <c r="L98" s="4" t="str">
        <f t="shared" si="2"/>
        <v/>
      </c>
      <c r="M98" s="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>
        <f t="shared" si="1"/>
        <v>0</v>
      </c>
      <c r="L99" s="4" t="str">
        <f t="shared" si="2"/>
        <v/>
      </c>
      <c r="M99" s="5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>
        <f t="shared" si="1"/>
        <v>0</v>
      </c>
      <c r="L100" s="4" t="str">
        <f t="shared" si="2"/>
        <v/>
      </c>
      <c r="M100" s="5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>
        <f t="shared" si="1"/>
        <v>0</v>
      </c>
      <c r="L101" s="4" t="str">
        <f t="shared" si="2"/>
        <v/>
      </c>
      <c r="M101" s="5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>
        <f t="shared" si="1"/>
        <v>0</v>
      </c>
      <c r="L102" s="4" t="str">
        <f t="shared" si="2"/>
        <v/>
      </c>
      <c r="M102" s="5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>
        <f t="shared" si="1"/>
        <v>0</v>
      </c>
      <c r="L103" s="4" t="str">
        <f t="shared" si="2"/>
        <v/>
      </c>
      <c r="M103" s="5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>
        <f t="shared" si="1"/>
        <v>0</v>
      </c>
      <c r="L104" s="4" t="str">
        <f t="shared" si="2"/>
        <v/>
      </c>
      <c r="M104" s="5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</sheetData>
  <autoFilter ref="$A$1:$M$12"/>
  <dataValidations>
    <dataValidation type="list" allowBlank="1" showErrorMessage="1" sqref="A2:A104">
      <formula1>Constants!$A$2:$A$32</formula1>
    </dataValidation>
    <dataValidation type="list" allowBlank="1" showErrorMessage="1" sqref="E2:E104">
      <formula1>Constants!$C$2:$C$4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 ht="22.5" customHeight="1">
      <c r="A1" s="9" t="s">
        <v>47</v>
      </c>
      <c r="B1" s="9" t="s">
        <v>48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49</v>
      </c>
      <c r="J1" s="10" t="s">
        <v>8</v>
      </c>
      <c r="K1" s="10" t="s">
        <v>9</v>
      </c>
    </row>
    <row r="2" ht="22.5" customHeight="1">
      <c r="A2" s="11">
        <v>46225.91500523148</v>
      </c>
      <c r="B2" s="12" t="s">
        <v>36</v>
      </c>
      <c r="C2" s="12" t="s">
        <v>50</v>
      </c>
      <c r="D2" s="12" t="s">
        <v>50</v>
      </c>
      <c r="E2" s="12" t="s">
        <v>51</v>
      </c>
      <c r="F2" s="12" t="s">
        <v>16</v>
      </c>
      <c r="G2" s="13">
        <v>45658.0</v>
      </c>
      <c r="H2" s="13">
        <v>46023.0</v>
      </c>
      <c r="I2" s="12">
        <v>24.0</v>
      </c>
      <c r="J2" s="12">
        <v>20.0</v>
      </c>
      <c r="K2" s="12">
        <v>15.0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25"/>
    <col customWidth="1" min="3" max="3" width="18.75"/>
    <col customWidth="1" min="5" max="5" width="34.63"/>
  </cols>
  <sheetData>
    <row r="1">
      <c r="A1" s="14" t="s">
        <v>48</v>
      </c>
      <c r="C1" s="14" t="s">
        <v>52</v>
      </c>
    </row>
    <row r="2">
      <c r="A2" s="15" t="s">
        <v>36</v>
      </c>
      <c r="C2" s="16" t="s">
        <v>53</v>
      </c>
    </row>
    <row r="3">
      <c r="A3" s="17" t="s">
        <v>27</v>
      </c>
      <c r="C3" s="16" t="s">
        <v>37</v>
      </c>
    </row>
    <row r="4">
      <c r="A4" s="15" t="s">
        <v>54</v>
      </c>
      <c r="C4" s="16" t="s">
        <v>16</v>
      </c>
    </row>
    <row r="5">
      <c r="A5" s="17" t="s">
        <v>55</v>
      </c>
    </row>
    <row r="6">
      <c r="A6" s="15" t="s">
        <v>32</v>
      </c>
    </row>
    <row r="7">
      <c r="A7" s="17" t="s">
        <v>56</v>
      </c>
    </row>
    <row r="8">
      <c r="A8" s="15" t="s">
        <v>43</v>
      </c>
    </row>
    <row r="9">
      <c r="A9" s="17" t="s">
        <v>57</v>
      </c>
    </row>
    <row r="10">
      <c r="A10" s="15" t="s">
        <v>58</v>
      </c>
    </row>
    <row r="11">
      <c r="A11" s="17" t="s">
        <v>29</v>
      </c>
    </row>
    <row r="12">
      <c r="A12" s="15" t="s">
        <v>59</v>
      </c>
    </row>
    <row r="13">
      <c r="A13" s="17" t="s">
        <v>60</v>
      </c>
    </row>
    <row r="14">
      <c r="A14" s="15" t="s">
        <v>61</v>
      </c>
    </row>
    <row r="15">
      <c r="A15" s="17" t="s">
        <v>62</v>
      </c>
    </row>
    <row r="16">
      <c r="A16" s="15" t="s">
        <v>44</v>
      </c>
    </row>
    <row r="17">
      <c r="A17" s="17" t="s">
        <v>18</v>
      </c>
    </row>
    <row r="18">
      <c r="A18" s="15" t="s">
        <v>63</v>
      </c>
    </row>
    <row r="19">
      <c r="A19" s="17" t="s">
        <v>64</v>
      </c>
    </row>
    <row r="20">
      <c r="A20" s="15" t="s">
        <v>65</v>
      </c>
    </row>
    <row r="21">
      <c r="A21" s="17" t="s">
        <v>22</v>
      </c>
    </row>
    <row r="22">
      <c r="A22" s="15" t="s">
        <v>38</v>
      </c>
    </row>
    <row r="23">
      <c r="A23" s="17" t="s">
        <v>66</v>
      </c>
    </row>
    <row r="24">
      <c r="A24" s="15" t="s">
        <v>67</v>
      </c>
    </row>
    <row r="25">
      <c r="A25" s="17" t="s">
        <v>68</v>
      </c>
    </row>
    <row r="26">
      <c r="A26" s="15" t="s">
        <v>30</v>
      </c>
    </row>
    <row r="27">
      <c r="A27" s="17" t="s">
        <v>33</v>
      </c>
    </row>
    <row r="28">
      <c r="A28" s="15" t="s">
        <v>13</v>
      </c>
    </row>
    <row r="29">
      <c r="A29" s="17" t="s">
        <v>69</v>
      </c>
    </row>
    <row r="30">
      <c r="A30" s="15" t="s">
        <v>45</v>
      </c>
    </row>
    <row r="31">
      <c r="A31" s="17" t="s">
        <v>35</v>
      </c>
    </row>
    <row r="32">
      <c r="A32" s="15" t="s">
        <v>70</v>
      </c>
    </row>
  </sheetData>
  <drawing r:id="rId1"/>
</worksheet>
</file>